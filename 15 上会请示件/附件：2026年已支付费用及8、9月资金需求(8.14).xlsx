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\Desktop\"/>
    </mc:Choice>
  </mc:AlternateContent>
  <bookViews>
    <workbookView windowWidth="22188" windowHeight="10500" tabRatio="774" activeTab="1"/>
  </bookViews>
  <sheets>
    <sheet name="2026年已支付的费用明细表" sheetId="12" r:id="rId1"/>
    <sheet name="8月、9月预计支付费用" sheetId="13" r:id="rId2"/>
  </sheets>
  <definedNames>
    <definedName name="_xlnm.Print_Area" localSheetId="0">'2026年已支付的费用明细表'!$A$1:$F$27</definedName>
    <definedName name="_xlnm.Print_Area" localSheetId="1">'8月、9月预计支付费用'!$A$1:$G$30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申奥</author>
  </authors>
  <commentList>
    <comment ref="E7" authorId="0">
      <text>
        <r>
          <rPr>
            <b/>
            <sz val="9"/>
            <rFont val="宋体"/>
            <charset val="134"/>
          </rPr>
          <t>1月23日支付农民工工资</t>
        </r>
      </text>
    </comment>
  </commentList>
</comments>
</file>

<file path=xl/sharedStrings.xml><?xml version="1.0" encoding="utf-8"?>
<sst xmlns="http://schemas.openxmlformats.org/spreadsheetml/2006/main" count="164" uniqueCount="127">
  <si>
    <t>附件1</t>
  </si>
  <si>
    <t>2026年已支付费用统计表</t>
  </si>
  <si>
    <t>序号</t>
  </si>
  <si>
    <t>分包商</t>
  </si>
  <si>
    <t>分包合同名称</t>
  </si>
  <si>
    <t>已支付金额（万元）</t>
  </si>
  <si>
    <t>备注</t>
  </si>
  <si>
    <t>一</t>
  </si>
  <si>
    <t>建安</t>
  </si>
  <si>
    <t>中国水利水电第十工程局有限公司</t>
  </si>
  <si>
    <t>雾化区处理</t>
  </si>
  <si>
    <t>合同内</t>
  </si>
  <si>
    <t>山西中咨项目管理有限公司</t>
  </si>
  <si>
    <t>斜坡码头</t>
  </si>
  <si>
    <t>民乐县恒泰公路工程有限责任公司</t>
  </si>
  <si>
    <t>厂房防护加固、厂房清理及道路水毁修复等</t>
  </si>
  <si>
    <t>合同内，二次修复</t>
  </si>
  <si>
    <t>右岸H11滑坡体处置</t>
  </si>
  <si>
    <t>合同外</t>
  </si>
  <si>
    <t>安能集团第一工程局云南投资建设有限公司</t>
  </si>
  <si>
    <t>左岸边坡处置</t>
  </si>
  <si>
    <t>中国安能集团第一工程局有限公司</t>
  </si>
  <si>
    <t>左岸边坡处理</t>
  </si>
  <si>
    <t>二</t>
  </si>
  <si>
    <t>设备</t>
  </si>
  <si>
    <t>中国水利水电第四工程局有限公司</t>
  </si>
  <si>
    <t>尾水闸门二次采购补充协议2</t>
  </si>
  <si>
    <t>合同内，闸门二次采购</t>
  </si>
  <si>
    <t>特变电工股份有限公司</t>
  </si>
  <si>
    <t>110KVA主变压器设备</t>
  </si>
  <si>
    <t>合同内的费用</t>
  </si>
  <si>
    <t>110KVA主变压器设备补充协议</t>
  </si>
  <si>
    <t>合同内，主变二次采购</t>
  </si>
  <si>
    <t>四川省凯利工业设备有限公司</t>
  </si>
  <si>
    <t>辅助系统设备及其附件采购补充协议</t>
  </si>
  <si>
    <t>合同内，二次采购</t>
  </si>
  <si>
    <t>通用阀门、仪表自动化元件及其附件采购合同补充协议2</t>
  </si>
  <si>
    <t>江苏上上电缆集团有限公司</t>
  </si>
  <si>
    <t>厂房电缆线采购</t>
  </si>
  <si>
    <t>河南平高通用电气有限公司</t>
  </si>
  <si>
    <t>110kVGIS</t>
  </si>
  <si>
    <t>许继电气股份有限公司</t>
  </si>
  <si>
    <t>电气二次设备采购</t>
  </si>
  <si>
    <t>三</t>
  </si>
  <si>
    <t>技术服务</t>
  </si>
  <si>
    <t>青海省水利水电科学研究院有限公司</t>
  </si>
  <si>
    <t>发电厂房损毁部分质量检测</t>
  </si>
  <si>
    <t>合同内，厂房受损检测</t>
  </si>
  <si>
    <t>青海志合工程检测咨询有限公司</t>
  </si>
  <si>
    <t>水电站厂房安全性能鉴定</t>
  </si>
  <si>
    <t>青海省海北宏达电力有限责任公司</t>
  </si>
  <si>
    <t>35kV黄藏寺变电站及输电线路运行维护</t>
  </si>
  <si>
    <t>合同内，电力维护</t>
  </si>
  <si>
    <t>天津中水科机电科技有限公司</t>
  </si>
  <si>
    <t>机组启动验收及涉网实验相关项目</t>
  </si>
  <si>
    <t>合计</t>
  </si>
  <si>
    <t xml:space="preserve"> </t>
  </si>
  <si>
    <t>属于原合同内的</t>
  </si>
  <si>
    <t>附件2</t>
  </si>
  <si>
    <t>并网发电前（8月、9月）的工作及资金需求计划</t>
  </si>
  <si>
    <t>施工单位</t>
  </si>
  <si>
    <t>施工内容</t>
  </si>
  <si>
    <t>8月份资金（万元）</t>
  </si>
  <si>
    <t>9月份资金计划（万元）</t>
  </si>
  <si>
    <t>建安工程</t>
  </si>
  <si>
    <t xml:space="preserve"> 民乐恒泰</t>
  </si>
  <si>
    <t>主副厂房土建修复完成</t>
  </si>
  <si>
    <t>2026年3月至7月份工程进度结算款（合同内二次修复）</t>
  </si>
  <si>
    <t>8月份进度结算款（合同内，厂房土建二次修复）</t>
  </si>
  <si>
    <t>厂房防护加固</t>
  </si>
  <si>
    <t>2026年7月份进度结算款（合同内）</t>
  </si>
  <si>
    <t>8月份进度结算款（合同内）</t>
  </si>
  <si>
    <t>厂房综合防治完成</t>
  </si>
  <si>
    <t>水电十局</t>
  </si>
  <si>
    <t>H11滑坡体治理</t>
  </si>
  <si>
    <t>2026年6月至7月份工程进度结算款（合同内）</t>
  </si>
  <si>
    <t>8月份进度结算款（合同外）</t>
  </si>
  <si>
    <t>右岸雾化区施工</t>
  </si>
  <si>
    <t>先河水电</t>
  </si>
  <si>
    <t>左岸雾化区</t>
  </si>
  <si>
    <t>水电十一局安装分局</t>
  </si>
  <si>
    <t>厂房机组修复</t>
  </si>
  <si>
    <t>按照机组修复补充协议，2026年1月至7月份工程进度结算款（合同内二次修复）</t>
  </si>
  <si>
    <t>8月份进度结算款（合同内二次修复）</t>
  </si>
  <si>
    <t>安能一局</t>
  </si>
  <si>
    <t>左岸边坡地灾处置</t>
  </si>
  <si>
    <t>4月至6月份工程进度结算款（合同外）</t>
  </si>
  <si>
    <t>7月份进度结算款（合同外）</t>
  </si>
  <si>
    <t>设备采购</t>
  </si>
  <si>
    <t>平高电气</t>
  </si>
  <si>
    <t>低压柜采购</t>
  </si>
  <si>
    <t>设备发货款（合同内，GIS二次采购）</t>
  </si>
  <si>
    <t>特变电工</t>
  </si>
  <si>
    <t>10kV主变压器、GIS 设备、出线场设备及其附属设备采购合同补充协议</t>
  </si>
  <si>
    <t>主变压器设备到货款（合同内，主变二次采购）</t>
  </si>
  <si>
    <t>投运验收款（合同内，主变二次采购）</t>
  </si>
  <si>
    <t>江苏上上电缆</t>
  </si>
  <si>
    <t>厂房电缆线采购合同</t>
  </si>
  <si>
    <t>设备到货款（合同内，二次采购）</t>
  </si>
  <si>
    <t>河南卫华</t>
  </si>
  <si>
    <t>尾水闸门液压抓梁和尾水门机行走电机采购项目合同</t>
  </si>
  <si>
    <t>桥式起重机补充协议</t>
  </si>
  <si>
    <t>安装调试款（合同内，二次采购）</t>
  </si>
  <si>
    <t>天津天发</t>
  </si>
  <si>
    <t>水轮发电机补充协议</t>
  </si>
  <si>
    <t>出厂验收款（合同内，二次采购）</t>
  </si>
  <si>
    <t>投运验收款（合同内，二次采购）</t>
  </si>
  <si>
    <t>天津禹兰特公司</t>
  </si>
  <si>
    <t>2号机损坏配件采购</t>
  </si>
  <si>
    <t>设备发货款（合同内，二次采购）</t>
  </si>
  <si>
    <t>许继电气</t>
  </si>
  <si>
    <t>二次设备采购合同</t>
  </si>
  <si>
    <t>（合同内，第一次采购尾款）</t>
  </si>
  <si>
    <t>30%出厂验收款，35%投运验收款（合同内，二次采购）</t>
  </si>
  <si>
    <t>四川凯利</t>
  </si>
  <si>
    <t>辅助系统设备及附件设备</t>
  </si>
  <si>
    <t>70%到货验收款，20%投运验收款（合同内，二次采购）</t>
  </si>
  <si>
    <t>通用阀门、仪表自动化元件及其附件设备</t>
  </si>
  <si>
    <t>SF6泄漏监测报警装置</t>
  </si>
  <si>
    <t>青海省电力设计院</t>
  </si>
  <si>
    <t>安全稳定评估技术服务</t>
  </si>
  <si>
    <t>技术服务款，付款后提供报告。（合同内）</t>
  </si>
  <si>
    <t>青海电研科技公司</t>
  </si>
  <si>
    <t>涉网试验技术服务</t>
  </si>
  <si>
    <t>30%的首付款，付款后开始现场实验。（合同外）</t>
  </si>
  <si>
    <t>1号和2号机试验款（合同外）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</si>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</sst>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);\(0.00\)"/>
    <numFmt numFmtId="178" formatCode="0.00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4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left" vertical="center" wrapText="1"/>
    </xf>
    <xf numFmtId="176" fontId="1" fillId="0" borderId="2" xfId="0" applyNumberFormat="1" applyFont="1" applyBorder="1" applyAlignment="1">
      <alignment vertical="center" wrapText="1"/>
    </xf>
    <xf numFmtId="176" fontId="1" fillId="0" borderId="2" xfId="0" applyNumberFormat="1" applyFont="1" applyBorder="1" applyAlignment="1">
      <alignment horizontal="left" vertical="center"/>
    </xf>
    <xf numFmtId="176" fontId="1" fillId="0" borderId="2" xfId="0" applyNumberFormat="1" applyFont="1" applyBorder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177" fontId="10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>
      <alignment vertical="center"/>
    </xf>
    <xf numFmtId="178" fontId="10" fillId="0" borderId="2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77" fontId="11" fillId="0" borderId="2" xfId="0" applyNumberFormat="1" applyFont="1" applyFill="1" applyBorder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9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2" xfId="0" applyFill="1" applyBorder="1">
      <alignment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177" fontId="12" fillId="0" borderId="2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9"/>
  <sheetViews>
    <sheetView topLeftCell="A6" workbookViewId="0">
      <selection activeCell="F29" sqref="F29"/>
    </sheetView>
  </sheetViews>
  <sheetFormatPr defaultColWidth="9" defaultRowHeight="14.4" outlineLevelCol="5"/>
  <cols>
    <col min="1" max="1" width="5.37962962962963" style="34" customWidth="1"/>
    <col min="2" max="2" width="10.6296296296296" style="35" customWidth="1"/>
    <col min="3" max="3" width="22.25" style="35" customWidth="1"/>
    <col min="4" max="4" width="30.6296296296296" customWidth="1"/>
    <col min="5" max="5" width="12.3796296296296" style="36" customWidth="1"/>
    <col min="6" max="6" width="24.8796296296296" customWidth="1"/>
  </cols>
  <sheetData>
    <row r="1" spans="1:6">
      <c r="A1" s="34" t="s">
        <v>0</v>
      </c>
      <c r="B1" s="34"/>
    </row>
    <row r="2" ht="19.5" customHeight="1" spans="1:6">
      <c r="A2" s="37" t="s">
        <v>1</v>
      </c>
      <c r="B2" s="37"/>
      <c r="C2" s="37"/>
      <c r="D2" s="37"/>
      <c r="E2" s="37"/>
      <c r="F2" s="37"/>
    </row>
    <row r="3" ht="13.5" customHeight="1" spans="1:6">
      <c r="A3" s="38" t="s">
        <v>2</v>
      </c>
      <c r="B3" s="39" t="s">
        <v>3</v>
      </c>
      <c r="C3" s="40"/>
      <c r="D3" s="38" t="s">
        <v>4</v>
      </c>
      <c r="E3" s="41" t="s">
        <v>5</v>
      </c>
      <c r="F3" s="42" t="s">
        <v>6</v>
      </c>
    </row>
    <row r="4" spans="1:6">
      <c r="A4" s="38"/>
      <c r="B4" s="43"/>
      <c r="C4" s="44"/>
      <c r="D4" s="38"/>
      <c r="E4" s="45"/>
      <c r="F4" s="46"/>
    </row>
    <row r="5" ht="18" customHeight="1" spans="1:6">
      <c r="A5" s="47" t="s">
        <v>7</v>
      </c>
      <c r="B5" s="48" t="s">
        <v>8</v>
      </c>
      <c r="C5" s="49"/>
      <c r="D5" s="50"/>
      <c r="E5" s="51">
        <f>SUM(E6:E11)</f>
        <v>1034.43</v>
      </c>
      <c r="F5" s="47"/>
    </row>
    <row r="6" ht="18" customHeight="1" spans="1:6">
      <c r="A6" s="50">
        <v>1</v>
      </c>
      <c r="B6" s="52" t="s">
        <v>9</v>
      </c>
      <c r="C6" s="53"/>
      <c r="D6" s="54" t="s">
        <v>10</v>
      </c>
      <c r="E6" s="55">
        <v>105.42</v>
      </c>
      <c r="F6" s="56" t="s">
        <v>11</v>
      </c>
    </row>
    <row r="7" ht="18" customHeight="1" spans="1:6">
      <c r="A7" s="50">
        <v>2</v>
      </c>
      <c r="B7" s="52" t="s">
        <v>12</v>
      </c>
      <c r="C7" s="53"/>
      <c r="D7" s="54" t="s">
        <v>13</v>
      </c>
      <c r="E7" s="57">
        <v>43.13</v>
      </c>
      <c r="F7" s="56" t="s">
        <v>11</v>
      </c>
    </row>
    <row r="8" ht="28.5" customHeight="1" spans="1:6">
      <c r="A8" s="50">
        <v>3</v>
      </c>
      <c r="B8" s="52" t="s">
        <v>14</v>
      </c>
      <c r="C8" s="53"/>
      <c r="D8" s="54" t="s">
        <v>15</v>
      </c>
      <c r="E8" s="55">
        <v>188.2</v>
      </c>
      <c r="F8" s="56" t="s">
        <v>16</v>
      </c>
    </row>
    <row r="9" ht="18" customHeight="1" spans="1:6">
      <c r="A9" s="50">
        <v>4</v>
      </c>
      <c r="B9" s="52" t="s">
        <v>9</v>
      </c>
      <c r="C9" s="53"/>
      <c r="D9" s="54" t="s">
        <v>17</v>
      </c>
      <c r="E9" s="55">
        <v>94.53</v>
      </c>
      <c r="F9" s="56" t="s">
        <v>18</v>
      </c>
    </row>
    <row r="10" spans="1:6">
      <c r="A10" s="50">
        <v>5</v>
      </c>
      <c r="B10" s="52" t="s">
        <v>19</v>
      </c>
      <c r="C10" s="53"/>
      <c r="D10" s="54" t="s">
        <v>20</v>
      </c>
      <c r="E10" s="55">
        <v>559.79</v>
      </c>
      <c r="F10" s="56" t="s">
        <v>18</v>
      </c>
    </row>
    <row r="11" ht="18" customHeight="1" spans="1:6">
      <c r="A11" s="50">
        <v>6</v>
      </c>
      <c r="B11" s="52" t="s">
        <v>21</v>
      </c>
      <c r="C11" s="53"/>
      <c r="D11" s="54" t="s">
        <v>22</v>
      </c>
      <c r="E11" s="55">
        <v>43.36</v>
      </c>
      <c r="F11" s="56" t="s">
        <v>18</v>
      </c>
    </row>
    <row r="12" ht="18" customHeight="1" spans="1:6">
      <c r="A12" s="47" t="s">
        <v>23</v>
      </c>
      <c r="B12" s="58" t="s">
        <v>24</v>
      </c>
      <c r="C12" s="59"/>
      <c r="D12" s="54"/>
      <c r="E12" s="51">
        <f>SUM(E13:E20)</f>
        <v>361.13</v>
      </c>
      <c r="F12" s="60"/>
    </row>
    <row r="13" ht="18" customHeight="1" spans="1:6">
      <c r="A13" s="50">
        <v>7</v>
      </c>
      <c r="B13" s="52" t="s">
        <v>25</v>
      </c>
      <c r="C13" s="53"/>
      <c r="D13" s="54" t="s">
        <v>26</v>
      </c>
      <c r="E13" s="55">
        <v>14.56</v>
      </c>
      <c r="F13" s="56" t="s">
        <v>27</v>
      </c>
    </row>
    <row r="14" ht="18" customHeight="1" spans="1:6">
      <c r="A14" s="50">
        <v>8</v>
      </c>
      <c r="B14" s="52" t="s">
        <v>28</v>
      </c>
      <c r="C14" s="53"/>
      <c r="D14" s="54" t="s">
        <v>29</v>
      </c>
      <c r="E14" s="55">
        <v>117.18</v>
      </c>
      <c r="F14" s="56" t="s">
        <v>30</v>
      </c>
    </row>
    <row r="15" ht="18" customHeight="1" spans="1:6">
      <c r="A15" s="50">
        <v>9</v>
      </c>
      <c r="B15" s="52" t="s">
        <v>28</v>
      </c>
      <c r="C15" s="53"/>
      <c r="D15" s="61" t="s">
        <v>31</v>
      </c>
      <c r="E15" s="55">
        <v>106.4</v>
      </c>
      <c r="F15" s="56" t="s">
        <v>32</v>
      </c>
    </row>
    <row r="16" ht="27.6" customHeight="1" spans="1:6">
      <c r="A16" s="50">
        <v>10</v>
      </c>
      <c r="B16" s="52" t="s">
        <v>33</v>
      </c>
      <c r="C16" s="53"/>
      <c r="D16" s="54" t="s">
        <v>34</v>
      </c>
      <c r="E16" s="55">
        <v>11.33</v>
      </c>
      <c r="F16" s="56" t="s">
        <v>35</v>
      </c>
    </row>
    <row r="17" ht="29.25" customHeight="1" spans="1:6">
      <c r="A17" s="50">
        <v>11</v>
      </c>
      <c r="B17" s="52" t="s">
        <v>33</v>
      </c>
      <c r="C17" s="53"/>
      <c r="D17" s="54" t="s">
        <v>36</v>
      </c>
      <c r="E17" s="55">
        <v>7.55</v>
      </c>
      <c r="F17" s="56" t="s">
        <v>35</v>
      </c>
    </row>
    <row r="18" ht="18" customHeight="1" spans="1:6">
      <c r="A18" s="50">
        <v>12</v>
      </c>
      <c r="B18" s="52" t="s">
        <v>37</v>
      </c>
      <c r="C18" s="53"/>
      <c r="D18" s="54" t="s">
        <v>38</v>
      </c>
      <c r="E18" s="55">
        <v>20.09</v>
      </c>
      <c r="F18" s="56" t="s">
        <v>35</v>
      </c>
    </row>
    <row r="19" ht="18" customHeight="1" spans="1:6">
      <c r="A19" s="50">
        <v>13</v>
      </c>
      <c r="B19" s="52" t="s">
        <v>39</v>
      </c>
      <c r="C19" s="53"/>
      <c r="D19" s="54" t="s">
        <v>40</v>
      </c>
      <c r="E19" s="55">
        <v>56.48</v>
      </c>
      <c r="F19" s="56" t="s">
        <v>35</v>
      </c>
    </row>
    <row r="20" ht="18" customHeight="1" spans="1:6">
      <c r="A20" s="50">
        <v>14</v>
      </c>
      <c r="B20" s="52" t="s">
        <v>41</v>
      </c>
      <c r="C20" s="53"/>
      <c r="D20" s="54" t="s">
        <v>42</v>
      </c>
      <c r="E20" s="55">
        <v>27.54</v>
      </c>
      <c r="F20" s="56" t="s">
        <v>35</v>
      </c>
    </row>
    <row r="21" ht="18" customHeight="1" spans="1:6">
      <c r="A21" s="47" t="s">
        <v>43</v>
      </c>
      <c r="B21" s="58" t="s">
        <v>44</v>
      </c>
      <c r="C21" s="59"/>
      <c r="D21" s="54"/>
      <c r="E21" s="51">
        <f>SUM(E22:E25)</f>
        <v>57.95</v>
      </c>
      <c r="F21" s="60"/>
    </row>
    <row r="22" ht="18" customHeight="1" spans="1:6">
      <c r="A22" s="50">
        <v>15</v>
      </c>
      <c r="B22" s="52" t="s">
        <v>45</v>
      </c>
      <c r="C22" s="53"/>
      <c r="D22" s="54" t="s">
        <v>46</v>
      </c>
      <c r="E22" s="55">
        <v>4.23</v>
      </c>
      <c r="F22" s="56" t="s">
        <v>47</v>
      </c>
    </row>
    <row r="23" ht="18" customHeight="1" spans="1:6">
      <c r="A23" s="50">
        <v>16</v>
      </c>
      <c r="B23" s="52" t="s">
        <v>48</v>
      </c>
      <c r="C23" s="53"/>
      <c r="D23" s="54" t="s">
        <v>49</v>
      </c>
      <c r="E23" s="55">
        <v>8.62</v>
      </c>
      <c r="F23" s="56" t="s">
        <v>47</v>
      </c>
    </row>
    <row r="24" ht="28.8" spans="1:6">
      <c r="A24" s="50">
        <v>17</v>
      </c>
      <c r="B24" s="52" t="s">
        <v>50</v>
      </c>
      <c r="C24" s="53"/>
      <c r="D24" s="54" t="s">
        <v>51</v>
      </c>
      <c r="E24" s="55">
        <v>18.7</v>
      </c>
      <c r="F24" s="56" t="s">
        <v>52</v>
      </c>
    </row>
    <row r="25" ht="31.15" customHeight="1" spans="1:6">
      <c r="A25" s="50">
        <v>18</v>
      </c>
      <c r="B25" s="52" t="s">
        <v>53</v>
      </c>
      <c r="C25" s="53"/>
      <c r="D25" s="62" t="s">
        <v>54</v>
      </c>
      <c r="E25" s="55">
        <v>26.4</v>
      </c>
      <c r="F25" s="56" t="s">
        <v>11</v>
      </c>
    </row>
    <row r="26" ht="18" customHeight="1" spans="1:6">
      <c r="A26" s="50"/>
      <c r="B26" s="63"/>
      <c r="C26" s="64"/>
      <c r="D26" s="65"/>
      <c r="E26" s="55"/>
      <c r="F26" s="60"/>
    </row>
    <row r="27" ht="18" customHeight="1" spans="1:6">
      <c r="A27" s="50"/>
      <c r="B27" s="66" t="s">
        <v>55</v>
      </c>
      <c r="C27" s="67"/>
      <c r="D27" s="65"/>
      <c r="E27" s="68">
        <f>E21+E12+E5</f>
        <v>1453.51</v>
      </c>
      <c r="F27" s="69" t="s">
        <v>56</v>
      </c>
    </row>
    <row r="29" spans="1:6">
      <c r="F29" t="s">
        <v>57</v>
      </c>
    </row>
  </sheetData>
  <mergeCells count="30">
    <mergeCell ref="A1:B1"/>
    <mergeCell ref="A2:F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3:A4"/>
    <mergeCell ref="D3:D4"/>
    <mergeCell ref="E3:E4"/>
    <mergeCell ref="F3:F4"/>
    <mergeCell ref="B3:C4"/>
  </mergeCells>
  <pageMargins left="0.7" right="0.7" top="0.75" bottom="0.75" header="0.3" footer="0.3"/>
  <pageSetup paperSize="9" scale="9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0"/>
  <sheetViews>
    <sheetView tabSelected="1" topLeftCell="A22" workbookViewId="0">
      <selection activeCell="E36" sqref="E36"/>
    </sheetView>
  </sheetViews>
  <sheetFormatPr defaultColWidth="9" defaultRowHeight="14.4" outlineLevelCol="6"/>
  <cols>
    <col min="1" max="1" width="7" style="3" customWidth="1"/>
    <col min="2" max="2" width="20.75" style="3" customWidth="1"/>
    <col min="3" max="3" width="25" style="4" customWidth="1"/>
    <col min="4" max="4" width="11" style="3" customWidth="1"/>
    <col min="5" max="5" width="31.8888888888889" style="3" customWidth="1"/>
    <col min="6" max="6" width="13" style="3" customWidth="1"/>
    <col min="7" max="7" width="25.7777777777778" style="3" customWidth="1"/>
    <col min="8" max="16384" width="9" style="5"/>
  </cols>
  <sheetData>
    <row r="1" spans="1:7">
      <c r="A1" s="3" t="s">
        <v>58</v>
      </c>
    </row>
    <row r="2" ht="17.4" spans="1:7">
      <c r="A2" s="6" t="s">
        <v>59</v>
      </c>
      <c r="B2" s="6"/>
      <c r="C2" s="6"/>
      <c r="D2" s="6"/>
      <c r="E2" s="6"/>
      <c r="F2" s="6"/>
      <c r="G2" s="6"/>
    </row>
    <row r="3" ht="30.75" customHeight="1" spans="1:7">
      <c r="A3" s="7" t="s">
        <v>2</v>
      </c>
      <c r="B3" s="7" t="s">
        <v>60</v>
      </c>
      <c r="C3" s="8" t="s">
        <v>61</v>
      </c>
      <c r="D3" s="8" t="s">
        <v>62</v>
      </c>
      <c r="E3" s="8" t="s">
        <v>6</v>
      </c>
      <c r="F3" s="8" t="s">
        <v>63</v>
      </c>
      <c r="G3" s="8" t="s">
        <v>6</v>
      </c>
    </row>
    <row r="4" ht="18" customHeight="1" spans="1:7">
      <c r="A4" s="9" t="s">
        <v>7</v>
      </c>
      <c r="B4" s="10" t="s">
        <v>64</v>
      </c>
      <c r="C4" s="10"/>
      <c r="D4" s="10"/>
      <c r="E4" s="10"/>
      <c r="F4" s="10"/>
      <c r="G4" s="10"/>
    </row>
    <row r="5" ht="28.8" spans="1:7">
      <c r="A5" s="7">
        <v>1</v>
      </c>
      <c r="B5" s="7" t="s">
        <v>65</v>
      </c>
      <c r="C5" s="11" t="s">
        <v>66</v>
      </c>
      <c r="D5" s="12">
        <v>203.02</v>
      </c>
      <c r="E5" s="13" t="s">
        <v>67</v>
      </c>
      <c r="F5" s="12">
        <v>140</v>
      </c>
      <c r="G5" s="13" t="s">
        <v>68</v>
      </c>
    </row>
    <row r="6" ht="28.5" customHeight="1" spans="1:7">
      <c r="A6" s="7">
        <v>2</v>
      </c>
      <c r="B6" s="7" t="s">
        <v>65</v>
      </c>
      <c r="C6" s="11" t="s">
        <v>69</v>
      </c>
      <c r="D6" s="12">
        <v>75.69</v>
      </c>
      <c r="E6" s="13" t="s">
        <v>70</v>
      </c>
      <c r="F6" s="12">
        <v>60</v>
      </c>
      <c r="G6" s="13" t="s">
        <v>71</v>
      </c>
    </row>
    <row r="7" ht="28.8" spans="1:7">
      <c r="A7" s="7">
        <v>3</v>
      </c>
      <c r="B7" s="7" t="s">
        <v>65</v>
      </c>
      <c r="C7" s="11" t="s">
        <v>72</v>
      </c>
      <c r="D7" s="12"/>
      <c r="E7" s="13"/>
      <c r="F7" s="12">
        <v>150</v>
      </c>
      <c r="G7" s="13" t="s">
        <v>71</v>
      </c>
    </row>
    <row r="8" ht="28.8" spans="1:7">
      <c r="A8" s="7">
        <v>4</v>
      </c>
      <c r="B8" s="7" t="s">
        <v>73</v>
      </c>
      <c r="C8" s="11" t="s">
        <v>74</v>
      </c>
      <c r="D8" s="14">
        <v>74.76</v>
      </c>
      <c r="E8" s="15" t="s">
        <v>75</v>
      </c>
      <c r="F8" s="14">
        <v>120</v>
      </c>
      <c r="G8" s="15" t="s">
        <v>76</v>
      </c>
    </row>
    <row r="9" ht="42.75" customHeight="1" spans="1:7">
      <c r="A9" s="7">
        <v>5</v>
      </c>
      <c r="B9" s="7" t="s">
        <v>73</v>
      </c>
      <c r="C9" s="11" t="s">
        <v>77</v>
      </c>
      <c r="D9" s="14">
        <v>163.57</v>
      </c>
      <c r="E9" s="15" t="s">
        <v>75</v>
      </c>
      <c r="F9" s="14">
        <v>200</v>
      </c>
      <c r="G9" s="15" t="s">
        <v>71</v>
      </c>
    </row>
    <row r="10" ht="40.9" customHeight="1" spans="1:7">
      <c r="A10" s="7">
        <v>6</v>
      </c>
      <c r="B10" s="7" t="s">
        <v>78</v>
      </c>
      <c r="C10" s="11" t="s">
        <v>79</v>
      </c>
      <c r="D10" s="14"/>
      <c r="E10" s="15"/>
      <c r="F10" s="14">
        <v>300</v>
      </c>
      <c r="G10" s="15" t="s">
        <v>71</v>
      </c>
    </row>
    <row r="11" ht="43.2" spans="1:7">
      <c r="A11" s="7">
        <v>7</v>
      </c>
      <c r="B11" s="7" t="s">
        <v>80</v>
      </c>
      <c r="C11" s="11" t="s">
        <v>81</v>
      </c>
      <c r="D11" s="14">
        <v>768.77</v>
      </c>
      <c r="E11" s="15" t="s">
        <v>82</v>
      </c>
      <c r="F11" s="14">
        <v>450</v>
      </c>
      <c r="G11" s="15" t="s">
        <v>83</v>
      </c>
    </row>
    <row r="12" s="1" customFormat="1" ht="27.75" customHeight="1" spans="1:7">
      <c r="A12" s="16">
        <v>8</v>
      </c>
      <c r="B12" s="17" t="s">
        <v>84</v>
      </c>
      <c r="C12" s="18" t="s">
        <v>85</v>
      </c>
      <c r="D12" s="19">
        <v>252.45</v>
      </c>
      <c r="E12" s="20" t="s">
        <v>86</v>
      </c>
      <c r="F12" s="21"/>
      <c r="G12" s="18" t="s">
        <v>56</v>
      </c>
    </row>
    <row r="13" s="1" customFormat="1" ht="18" customHeight="1" spans="1:7">
      <c r="A13" s="16">
        <v>9</v>
      </c>
      <c r="B13" s="17" t="s">
        <v>84</v>
      </c>
      <c r="C13" s="18" t="s">
        <v>85</v>
      </c>
      <c r="D13" s="19">
        <v>131.76</v>
      </c>
      <c r="E13" s="22" t="s">
        <v>87</v>
      </c>
      <c r="F13" s="23">
        <v>150</v>
      </c>
      <c r="G13" s="18" t="s">
        <v>76</v>
      </c>
    </row>
    <row r="14" ht="18" customHeight="1" spans="1:7">
      <c r="A14" s="9" t="s">
        <v>23</v>
      </c>
      <c r="B14" s="10" t="s">
        <v>88</v>
      </c>
      <c r="C14" s="10"/>
      <c r="D14" s="24"/>
      <c r="E14" s="25"/>
      <c r="F14" s="26"/>
      <c r="G14" s="24"/>
    </row>
    <row r="15" ht="28.5" customHeight="1" spans="1:7">
      <c r="A15" s="7">
        <v>8</v>
      </c>
      <c r="B15" s="7" t="s">
        <v>89</v>
      </c>
      <c r="C15" s="11" t="s">
        <v>90</v>
      </c>
      <c r="D15" s="14">
        <v>9.31</v>
      </c>
      <c r="E15" s="15" t="s">
        <v>91</v>
      </c>
      <c r="F15" s="14"/>
      <c r="G15" s="15"/>
    </row>
    <row r="16" ht="43.2" spans="1:7">
      <c r="A16" s="7">
        <v>9</v>
      </c>
      <c r="B16" s="7" t="s">
        <v>92</v>
      </c>
      <c r="C16" s="13" t="s">
        <v>93</v>
      </c>
      <c r="D16" s="12">
        <v>124.14</v>
      </c>
      <c r="E16" s="13" t="s">
        <v>94</v>
      </c>
      <c r="F16" s="12">
        <v>86.67</v>
      </c>
      <c r="G16" s="13" t="s">
        <v>95</v>
      </c>
    </row>
    <row r="17" ht="27.75" customHeight="1" spans="1:7">
      <c r="A17" s="7">
        <v>10</v>
      </c>
      <c r="B17" s="7" t="s">
        <v>96</v>
      </c>
      <c r="C17" s="11" t="s">
        <v>97</v>
      </c>
      <c r="D17" s="12">
        <v>46.95</v>
      </c>
      <c r="E17" s="13" t="s">
        <v>98</v>
      </c>
      <c r="F17" s="12"/>
      <c r="G17" s="13"/>
    </row>
    <row r="18" ht="28.8" spans="1:7">
      <c r="A18" s="7">
        <v>11</v>
      </c>
      <c r="B18" s="7" t="s">
        <v>99</v>
      </c>
      <c r="C18" s="13" t="s">
        <v>100</v>
      </c>
      <c r="D18" s="12">
        <v>16.8</v>
      </c>
      <c r="E18" s="13" t="s">
        <v>98</v>
      </c>
      <c r="F18" s="12"/>
      <c r="G18" s="13"/>
    </row>
    <row r="19" ht="22" customHeight="1" spans="1:7">
      <c r="A19" s="7">
        <v>12</v>
      </c>
      <c r="B19" s="7" t="s">
        <v>99</v>
      </c>
      <c r="C19" s="13" t="s">
        <v>101</v>
      </c>
      <c r="D19" s="12">
        <v>4.01</v>
      </c>
      <c r="E19" s="13" t="s">
        <v>102</v>
      </c>
      <c r="F19" s="12"/>
      <c r="G19" s="13"/>
    </row>
    <row r="20" ht="28.8" spans="1:7">
      <c r="A20" s="7">
        <v>13</v>
      </c>
      <c r="B20" s="7" t="s">
        <v>103</v>
      </c>
      <c r="C20" s="13" t="s">
        <v>104</v>
      </c>
      <c r="D20" s="12">
        <v>64.52</v>
      </c>
      <c r="E20" s="13" t="s">
        <v>105</v>
      </c>
      <c r="F20" s="12">
        <v>18.44</v>
      </c>
      <c r="G20" s="13" t="s">
        <v>106</v>
      </c>
    </row>
    <row r="21" ht="18" customHeight="1" spans="1:7">
      <c r="A21" s="7">
        <v>14</v>
      </c>
      <c r="B21" s="7" t="s">
        <v>107</v>
      </c>
      <c r="C21" s="13" t="s">
        <v>108</v>
      </c>
      <c r="D21" s="12">
        <v>8.8</v>
      </c>
      <c r="E21" s="13" t="s">
        <v>109</v>
      </c>
      <c r="F21" s="12"/>
      <c r="G21" s="13"/>
    </row>
    <row r="22" ht="29.25" customHeight="1" spans="1:7">
      <c r="A22" s="7">
        <v>15</v>
      </c>
      <c r="B22" s="7" t="s">
        <v>110</v>
      </c>
      <c r="C22" s="11" t="s">
        <v>111</v>
      </c>
      <c r="D22" s="12">
        <v>264.24</v>
      </c>
      <c r="E22" s="13" t="s">
        <v>112</v>
      </c>
      <c r="F22" s="12">
        <f>91.8*(0.3+0.35)</f>
        <v>59.67</v>
      </c>
      <c r="G22" s="13" t="s">
        <v>113</v>
      </c>
    </row>
    <row r="23" ht="43.2" spans="1:7">
      <c r="A23" s="7">
        <v>16</v>
      </c>
      <c r="B23" s="7" t="s">
        <v>114</v>
      </c>
      <c r="C23" s="13" t="s">
        <v>115</v>
      </c>
      <c r="D23" s="12"/>
      <c r="E23" s="13"/>
      <c r="F23" s="12">
        <f>61.284*(0.7+0.2)</f>
        <v>55.1556</v>
      </c>
      <c r="G23" s="13" t="s">
        <v>116</v>
      </c>
    </row>
    <row r="24" ht="43.2" spans="1:7">
      <c r="A24" s="7">
        <v>17</v>
      </c>
      <c r="B24" s="7" t="s">
        <v>114</v>
      </c>
      <c r="C24" s="13" t="s">
        <v>117</v>
      </c>
      <c r="D24" s="12"/>
      <c r="E24" s="13"/>
      <c r="F24" s="12">
        <f>15.702*(0.7+0.2)</f>
        <v>14.1318</v>
      </c>
      <c r="G24" s="13" t="s">
        <v>116</v>
      </c>
    </row>
    <row r="25" ht="28" customHeight="1" spans="1:7">
      <c r="A25" s="7">
        <v>18</v>
      </c>
      <c r="B25" s="7" t="s">
        <v>89</v>
      </c>
      <c r="C25" s="13" t="s">
        <v>118</v>
      </c>
      <c r="D25" s="14">
        <v>5.2</v>
      </c>
      <c r="E25" s="13" t="s">
        <v>109</v>
      </c>
      <c r="F25" s="12"/>
      <c r="G25" s="13"/>
    </row>
    <row r="26" ht="18" customHeight="1" spans="1:7">
      <c r="A26" s="9" t="s">
        <v>43</v>
      </c>
      <c r="B26" s="10" t="s">
        <v>44</v>
      </c>
      <c r="C26" s="10"/>
      <c r="D26" s="10"/>
      <c r="E26" s="27"/>
      <c r="F26" s="28"/>
      <c r="G26" s="10"/>
    </row>
    <row r="27" ht="28.8" spans="1:7">
      <c r="A27" s="7">
        <v>19</v>
      </c>
      <c r="B27" s="16" t="s">
        <v>119</v>
      </c>
      <c r="C27" s="15" t="s">
        <v>120</v>
      </c>
      <c r="D27" s="14">
        <v>28</v>
      </c>
      <c r="E27" s="15" t="s">
        <v>121</v>
      </c>
      <c r="F27" s="12"/>
      <c r="G27" s="15"/>
    </row>
    <row r="28" ht="28.8" spans="1:7">
      <c r="A28" s="7">
        <v>20</v>
      </c>
      <c r="B28" s="16" t="s">
        <v>122</v>
      </c>
      <c r="C28" s="15" t="s">
        <v>123</v>
      </c>
      <c r="D28" s="14">
        <v>116.24</v>
      </c>
      <c r="E28" s="15" t="s">
        <v>124</v>
      </c>
      <c r="F28" s="14">
        <v>154.98</v>
      </c>
      <c r="G28" s="15" t="s">
        <v>125</v>
      </c>
    </row>
    <row r="29" s="2" customFormat="1" ht="21" customHeight="1" spans="1:7">
      <c r="A29" s="9"/>
      <c r="B29" s="9" t="s">
        <v>55</v>
      </c>
      <c r="C29" s="29"/>
      <c r="D29" s="30">
        <f>SUM(D5:D28)</f>
        <v>2358.23</v>
      </c>
      <c r="E29" s="31"/>
      <c r="F29" s="30">
        <f>SUM(F5:F28)</f>
        <v>1959.0474</v>
      </c>
      <c r="G29" s="29"/>
    </row>
    <row r="30" ht="18.75" customHeight="1" spans="1:7">
      <c r="A30" s="9" t="s">
        <v>126</v>
      </c>
      <c r="B30" s="9"/>
      <c r="C30" s="32">
        <f>D29+F29</f>
        <v>4317.2774</v>
      </c>
      <c r="D30" s="33"/>
      <c r="E30" s="33"/>
      <c r="F30" s="33"/>
      <c r="G30" s="33"/>
    </row>
  </sheetData>
  <mergeCells count="3">
    <mergeCell ref="A2:G2"/>
    <mergeCell ref="A30:B30"/>
    <mergeCell ref="C30:G30"/>
  </mergeCells>
  <pageMargins left="0.7" right="0.7" top="0.75" bottom="0.75" header="0.3" footer="0.3"/>
  <pageSetup paperSize="9" scale="6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2026年已支付的费用明细表</vt:lpstr>
      <vt:lpstr>8月、9月预计支付费用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沈志远</dc:creator>
  <cp:lastModifiedBy>黄细丁</cp:lastModifiedBy>
  <dcterms:created xsi:type="dcterms:W3CDTF">2023-09-12T11:22:00Z</dcterms:created>
  <cp:lastPrinted>2025-12-26T10:06:00Z</cp:lastPrinted>
  <dcterms:modified xsi:type="dcterms:W3CDTF">2026-08-14T01:44:09Z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215372C3CF064720AE516A41C1F955E9_12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