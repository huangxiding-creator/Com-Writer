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并网发电前的工作9.30\并网发电工作清单\黑河黄藏寺水利枢纽工程机组发电工作督办落实清单\"/>
    </mc:Choice>
  </mc:AlternateContent>
  <xr:revisionPtr revIDLastSave="0" documentId="13_ncr:1_{813DD072-1A97-477A-866B-D26B41E5D777}" xr6:coauthVersionLast="47" xr6:coauthVersionMax="47" xr10:uidLastSave="{00000000-0000-0000-0000-000000000000}"/>
  <bookViews>
    <workbookView xWindow="-108" yWindow="-108" windowWidth="23256" windowHeight="12456" tabRatio="774" activeTab="1" xr2:uid="{00000000-000D-0000-FFFF-FFFF00000000}"/>
  </bookViews>
  <sheets>
    <sheet name="2026年已支付的费用明细表" sheetId="12" r:id="rId1"/>
    <sheet name="8月、9月预计支付费用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2" l="1"/>
  <c r="E22" i="12" l="1"/>
  <c r="E13" i="12"/>
  <c r="E28" i="12" l="1"/>
  <c r="F22" i="13"/>
  <c r="F23" i="13"/>
  <c r="F24" i="13"/>
  <c r="D29" i="13"/>
  <c r="F29" i="13"/>
  <c r="C30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申奥</author>
  </authors>
  <commentList>
    <comment ref="E8" authorId="0" shapeId="0" xr:uid="{00000000-0006-0000-0100-000002000000}">
      <text>
        <r>
          <rPr>
            <b/>
            <sz val="9"/>
            <color indexed="81"/>
            <rFont val="宋体"/>
            <family val="3"/>
            <charset val="134"/>
          </rPr>
          <t>1月23日支付农民工工资</t>
        </r>
      </text>
    </comment>
  </commentList>
</comments>
</file>

<file path=xl/sharedStrings.xml><?xml version="1.0" encoding="utf-8"?>
<sst xmlns="http://schemas.openxmlformats.org/spreadsheetml/2006/main" count="147" uniqueCount="132">
  <si>
    <t>序号</t>
    <phoneticPr fontId="1" type="noConversion"/>
  </si>
  <si>
    <t>青海省海北宏达电力有限责任公司</t>
    <phoneticPr fontId="1" type="noConversion"/>
  </si>
  <si>
    <t>技术服务</t>
    <phoneticPr fontId="1" type="noConversion"/>
  </si>
  <si>
    <t>备注</t>
    <phoneticPr fontId="1" type="noConversion"/>
  </si>
  <si>
    <t xml:space="preserve"> </t>
    <phoneticPr fontId="1" type="noConversion"/>
  </si>
  <si>
    <t>民乐县恒泰公路工程有限责任公司</t>
    <phoneticPr fontId="1" type="noConversion"/>
  </si>
  <si>
    <t>附件1</t>
    <phoneticPr fontId="1" type="noConversion"/>
  </si>
  <si>
    <t>并网发电前的工作及资金落实计划</t>
    <phoneticPr fontId="6" type="noConversion"/>
  </si>
  <si>
    <t>序号</t>
    <phoneticPr fontId="6" type="noConversion"/>
  </si>
  <si>
    <t>施工单位</t>
    <phoneticPr fontId="6" type="noConversion"/>
  </si>
  <si>
    <t>施工内容</t>
    <phoneticPr fontId="6" type="noConversion"/>
  </si>
  <si>
    <t>8月份资金（万元）</t>
    <phoneticPr fontId="6" type="noConversion"/>
  </si>
  <si>
    <t>备注</t>
    <phoneticPr fontId="6" type="noConversion"/>
  </si>
  <si>
    <t>9月份资金计划（万元）</t>
    <phoneticPr fontId="6" type="noConversion"/>
  </si>
  <si>
    <t>备注</t>
    <phoneticPr fontId="6" type="noConversion"/>
  </si>
  <si>
    <t>一</t>
    <phoneticPr fontId="6" type="noConversion"/>
  </si>
  <si>
    <t>建安工程</t>
    <phoneticPr fontId="6" type="noConversion"/>
  </si>
  <si>
    <t xml:space="preserve"> 民乐恒泰</t>
    <phoneticPr fontId="6" type="noConversion"/>
  </si>
  <si>
    <t>主副厂房土建修复完成</t>
    <phoneticPr fontId="6" type="noConversion"/>
  </si>
  <si>
    <t>2026年3月至7月份工程进度结算款</t>
    <phoneticPr fontId="6" type="noConversion"/>
  </si>
  <si>
    <t>9月份全部实施完成</t>
    <phoneticPr fontId="6" type="noConversion"/>
  </si>
  <si>
    <t>厂房防护加固</t>
    <phoneticPr fontId="6" type="noConversion"/>
  </si>
  <si>
    <t>厂房综合防治完成</t>
    <phoneticPr fontId="6" type="noConversion"/>
  </si>
  <si>
    <t>水电十局</t>
    <phoneticPr fontId="6" type="noConversion"/>
  </si>
  <si>
    <t>H11滑坡体治理</t>
    <phoneticPr fontId="6" type="noConversion"/>
  </si>
  <si>
    <t>2026年6月至7月份工程进度结算款及农民工工资（65.77万元）</t>
    <phoneticPr fontId="6" type="noConversion"/>
  </si>
  <si>
    <t>9月初确保2号路恢复交通</t>
    <phoneticPr fontId="6" type="noConversion"/>
  </si>
  <si>
    <t>右岸雾化区施工</t>
    <phoneticPr fontId="6" type="noConversion"/>
  </si>
  <si>
    <t>2026年6月至7月份工程进度结算款及农民工工资（88.44万元）</t>
    <phoneticPr fontId="6" type="noConversion"/>
  </si>
  <si>
    <t>9月底完成2544米高程以下面板混凝土施工</t>
    <phoneticPr fontId="6" type="noConversion"/>
  </si>
  <si>
    <t>先河水电</t>
    <phoneticPr fontId="6" type="noConversion"/>
  </si>
  <si>
    <t>左岸雾化区</t>
    <phoneticPr fontId="6" type="noConversion"/>
  </si>
  <si>
    <t>水电十一局安装分局</t>
    <phoneticPr fontId="6" type="noConversion"/>
  </si>
  <si>
    <t>厂房机组修复</t>
    <phoneticPr fontId="6" type="noConversion"/>
  </si>
  <si>
    <t>按照机组修复补充协议，2026年1月至7月份工程进度结算款</t>
    <phoneticPr fontId="6" type="noConversion"/>
  </si>
  <si>
    <t>确保9月底1、2号机机组并网发电。</t>
    <phoneticPr fontId="6" type="noConversion"/>
  </si>
  <si>
    <t>安能一局</t>
    <phoneticPr fontId="6" type="noConversion"/>
  </si>
  <si>
    <t>左岸边坡地灾处置</t>
    <phoneticPr fontId="6" type="noConversion"/>
  </si>
  <si>
    <t>4月至6月份工程进度结算款（农民工工资已发）</t>
    <phoneticPr fontId="6" type="noConversion"/>
  </si>
  <si>
    <t xml:space="preserve"> </t>
    <phoneticPr fontId="6" type="noConversion"/>
  </si>
  <si>
    <t>安能一局</t>
    <phoneticPr fontId="6" type="noConversion"/>
  </si>
  <si>
    <t>左岸边坡地灾处置</t>
    <phoneticPr fontId="6" type="noConversion"/>
  </si>
  <si>
    <t>7月份进度结算款</t>
    <phoneticPr fontId="6" type="noConversion"/>
  </si>
  <si>
    <t>8月份进度结算款</t>
    <phoneticPr fontId="6" type="noConversion"/>
  </si>
  <si>
    <t>二</t>
    <phoneticPr fontId="6" type="noConversion"/>
  </si>
  <si>
    <t>设备采购</t>
    <phoneticPr fontId="6" type="noConversion"/>
  </si>
  <si>
    <t>平高电气</t>
    <phoneticPr fontId="6" type="noConversion"/>
  </si>
  <si>
    <t>低压柜采购</t>
    <phoneticPr fontId="6" type="noConversion"/>
  </si>
  <si>
    <t>设备发货款</t>
    <phoneticPr fontId="6" type="noConversion"/>
  </si>
  <si>
    <t>特变电工</t>
    <phoneticPr fontId="6" type="noConversion"/>
  </si>
  <si>
    <t>10kV主变压器、GIS 设备、出线场设备及其附属设备采购合同补充协议</t>
    <phoneticPr fontId="6" type="noConversion"/>
  </si>
  <si>
    <t>主变压器设备到货款</t>
    <phoneticPr fontId="6" type="noConversion"/>
  </si>
  <si>
    <t>投运验收款</t>
    <phoneticPr fontId="6" type="noConversion"/>
  </si>
  <si>
    <t>江苏上上电缆</t>
    <phoneticPr fontId="6" type="noConversion"/>
  </si>
  <si>
    <t>厂房电缆线采购合同</t>
    <phoneticPr fontId="6" type="noConversion"/>
  </si>
  <si>
    <t>设备到货款</t>
    <phoneticPr fontId="6" type="noConversion"/>
  </si>
  <si>
    <t>河南卫华</t>
    <phoneticPr fontId="6" type="noConversion"/>
  </si>
  <si>
    <t>尾水闸门液压抓梁和尾水门机行走电机采购项目合同</t>
    <phoneticPr fontId="6" type="noConversion"/>
  </si>
  <si>
    <t>桥式起重机补充协议</t>
    <phoneticPr fontId="6" type="noConversion"/>
  </si>
  <si>
    <t>安装调试款</t>
    <phoneticPr fontId="6" type="noConversion"/>
  </si>
  <si>
    <t>天津天发</t>
    <phoneticPr fontId="6" type="noConversion"/>
  </si>
  <si>
    <t>水轮发电机补充协议</t>
    <phoneticPr fontId="6" type="noConversion"/>
  </si>
  <si>
    <t>出厂验收款</t>
    <phoneticPr fontId="6" type="noConversion"/>
  </si>
  <si>
    <t>天津禹兰特公司</t>
    <phoneticPr fontId="6" type="noConversion"/>
  </si>
  <si>
    <t>2号机损坏配件采购</t>
    <phoneticPr fontId="6" type="noConversion"/>
  </si>
  <si>
    <t>许继电气</t>
    <phoneticPr fontId="6" type="noConversion"/>
  </si>
  <si>
    <t>二次设备采购合同</t>
    <phoneticPr fontId="6" type="noConversion"/>
  </si>
  <si>
    <t>根据补充协议需支付原合同款到95%，涉及后续调试</t>
    <phoneticPr fontId="6" type="noConversion"/>
  </si>
  <si>
    <t>30%出厂验收款，35%投运验收款</t>
    <phoneticPr fontId="6" type="noConversion"/>
  </si>
  <si>
    <t>四川凯利</t>
    <phoneticPr fontId="6" type="noConversion"/>
  </si>
  <si>
    <t>辅助系统设备及附件设备</t>
    <phoneticPr fontId="6" type="noConversion"/>
  </si>
  <si>
    <t>70%到货验收款，20%投运验收款</t>
    <phoneticPr fontId="6" type="noConversion"/>
  </si>
  <si>
    <t>通用阀门、仪表自动化元件及其附件设备</t>
    <phoneticPr fontId="6" type="noConversion"/>
  </si>
  <si>
    <t>SF6泄漏监测报警装置</t>
    <phoneticPr fontId="6" type="noConversion"/>
  </si>
  <si>
    <t>三</t>
    <phoneticPr fontId="6" type="noConversion"/>
  </si>
  <si>
    <t>技术服务</t>
    <phoneticPr fontId="6" type="noConversion"/>
  </si>
  <si>
    <t>青海省电力设计院</t>
    <phoneticPr fontId="6" type="noConversion"/>
  </si>
  <si>
    <t>安全稳定评估技术服务</t>
    <phoneticPr fontId="6" type="noConversion"/>
  </si>
  <si>
    <t>技术服务款，付款后提供报告。</t>
    <phoneticPr fontId="6" type="noConversion"/>
  </si>
  <si>
    <t>青海电研科技公司</t>
    <phoneticPr fontId="6" type="noConversion"/>
  </si>
  <si>
    <t>涉网试验技术服务</t>
    <phoneticPr fontId="6" type="noConversion"/>
  </si>
  <si>
    <t>30%的首付款，付款后开始现场实验。</t>
    <phoneticPr fontId="6" type="noConversion"/>
  </si>
  <si>
    <t>1号和2号机试验完成后付款</t>
    <phoneticPr fontId="6" type="noConversion"/>
  </si>
  <si>
    <t>合计</t>
    <phoneticPr fontId="6" type="noConversion"/>
  </si>
  <si>
    <t>分包商</t>
    <phoneticPr fontId="1" type="noConversion"/>
  </si>
  <si>
    <t>分包合同名称</t>
    <phoneticPr fontId="1" type="noConversion"/>
  </si>
  <si>
    <t>一</t>
    <phoneticPr fontId="1" type="noConversion"/>
  </si>
  <si>
    <t>建安</t>
    <phoneticPr fontId="1" type="noConversion"/>
  </si>
  <si>
    <t>深圳先河水利水电工程有限公司</t>
    <phoneticPr fontId="1" type="noConversion"/>
  </si>
  <si>
    <t>山西中咨项目管理有限公司</t>
    <phoneticPr fontId="1" type="noConversion"/>
  </si>
  <si>
    <t>斜坡码头</t>
    <phoneticPr fontId="1" type="noConversion"/>
  </si>
  <si>
    <t>中国水利水电第十工程局有限公司</t>
    <phoneticPr fontId="1" type="noConversion"/>
  </si>
  <si>
    <t>雾化区处理</t>
    <phoneticPr fontId="1" type="noConversion"/>
  </si>
  <si>
    <t>厂房防护加固、厂房清理及道路水毁修复等</t>
    <phoneticPr fontId="1" type="noConversion"/>
  </si>
  <si>
    <t>中国水利水电第十工程局有限公司</t>
    <phoneticPr fontId="1" type="noConversion"/>
  </si>
  <si>
    <t>右岸H11</t>
    <phoneticPr fontId="1" type="noConversion"/>
  </si>
  <si>
    <t>安能集团第一工程局云南投资建设有限公司</t>
    <phoneticPr fontId="1" type="noConversion"/>
  </si>
  <si>
    <t>左岸边坡处置</t>
    <phoneticPr fontId="1" type="noConversion"/>
  </si>
  <si>
    <t>中国安能集团第一工程局有限公司</t>
    <phoneticPr fontId="1" type="noConversion"/>
  </si>
  <si>
    <t>左岸边坡处理</t>
    <phoneticPr fontId="1" type="noConversion"/>
  </si>
  <si>
    <t>二</t>
    <phoneticPr fontId="1" type="noConversion"/>
  </si>
  <si>
    <t>设备</t>
    <phoneticPr fontId="1" type="noConversion"/>
  </si>
  <si>
    <t>中国水利水电第四工程局有限公司</t>
    <phoneticPr fontId="1" type="noConversion"/>
  </si>
  <si>
    <t>补充协议2</t>
    <phoneticPr fontId="1" type="noConversion"/>
  </si>
  <si>
    <t>特变电工股份有限公司</t>
    <phoneticPr fontId="1" type="noConversion"/>
  </si>
  <si>
    <t>110KVA主变压器设备</t>
    <phoneticPr fontId="1" type="noConversion"/>
  </si>
  <si>
    <t>110KVA主变压器设备补充协议</t>
    <phoneticPr fontId="1" type="noConversion"/>
  </si>
  <si>
    <t>四川省凯利工业设备有限公司</t>
    <phoneticPr fontId="1" type="noConversion"/>
  </si>
  <si>
    <t>辅助系统设备及其附件采购补充协议</t>
    <phoneticPr fontId="1" type="noConversion"/>
  </si>
  <si>
    <t>通用阀门、仪表自动化元件及其附件采购合同补充协议2</t>
    <phoneticPr fontId="1" type="noConversion"/>
  </si>
  <si>
    <t>江苏上上电缆集团有限公司</t>
    <phoneticPr fontId="1" type="noConversion"/>
  </si>
  <si>
    <t>厂房电缆线采购</t>
    <phoneticPr fontId="1" type="noConversion"/>
  </si>
  <si>
    <t>河南平高通用电气有限公司</t>
    <phoneticPr fontId="1" type="noConversion"/>
  </si>
  <si>
    <t>110kVGIS</t>
    <phoneticPr fontId="1" type="noConversion"/>
  </si>
  <si>
    <t>许继电气股份有限公司</t>
    <phoneticPr fontId="1" type="noConversion"/>
  </si>
  <si>
    <t>电气二次设备采购</t>
    <phoneticPr fontId="1" type="noConversion"/>
  </si>
  <si>
    <t>三</t>
    <phoneticPr fontId="1" type="noConversion"/>
  </si>
  <si>
    <t>青海省水利水电科学研究院有限公司</t>
    <phoneticPr fontId="1" type="noConversion"/>
  </si>
  <si>
    <t>发电厂房损毁部分质量检测</t>
    <phoneticPr fontId="1" type="noConversion"/>
  </si>
  <si>
    <t>青海志合工程检测咨询有限公司</t>
    <phoneticPr fontId="1" type="noConversion"/>
  </si>
  <si>
    <t>水电站厂房安全性能鉴定</t>
    <phoneticPr fontId="1" type="noConversion"/>
  </si>
  <si>
    <t>35kV黄藏寺变电站及输电线路运行维护</t>
    <phoneticPr fontId="1" type="noConversion"/>
  </si>
  <si>
    <t>天津中水科机电科技有限公司</t>
    <phoneticPr fontId="1" type="noConversion"/>
  </si>
  <si>
    <t>涉网试验</t>
    <phoneticPr fontId="1" type="noConversion"/>
  </si>
  <si>
    <t>合计</t>
    <phoneticPr fontId="1" type="noConversion"/>
  </si>
  <si>
    <t>已支付金额（万元）</t>
    <phoneticPr fontId="1" type="noConversion"/>
  </si>
  <si>
    <t xml:space="preserve"> </t>
    <phoneticPr fontId="1" type="noConversion"/>
  </si>
  <si>
    <t>2026年已支付费用统计表</t>
    <phoneticPr fontId="1" type="noConversion"/>
  </si>
  <si>
    <t>附件2</t>
    <phoneticPr fontId="1" type="noConversion"/>
  </si>
  <si>
    <t>下游河道疏浚及HB3工程</t>
    <phoneticPr fontId="1" type="noConversion"/>
  </si>
  <si>
    <t>总合计</t>
    <phoneticPr fontId="6" type="noConversion"/>
  </si>
  <si>
    <t>9月底完成左岸雾化区2541米高程以下面板混凝土施工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</si>
</sst>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0_);\(0.00\)"/>
  </numFmts>
  <fonts count="2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theme="1"/>
      <name val="宋体"/>
      <family val="2"/>
      <scheme val="minor"/>
    </font>
    <font>
      <sz val="14"/>
      <color theme="1"/>
      <name val="宋体"/>
      <family val="3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宋体"/>
      <family val="3"/>
      <charset val="134"/>
    </font>
    <font>
      <sz val="11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0" xfId="0" applyAlignment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9" fillId="0" borderId="1" xfId="0" applyFont="1" applyBorder="1" applyAlignment="1">
      <alignment horizontal="left" vertical="center"/>
    </xf>
    <xf numFmtId="177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177" fontId="11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77" fontId="12" fillId="0" borderId="1" xfId="0" applyNumberFormat="1" applyFont="1" applyBorder="1" applyAlignment="1">
      <alignment horizontal="right" vertical="center"/>
    </xf>
    <xf numFmtId="0" fontId="13" fillId="0" borderId="0" xfId="0" applyFont="1" applyAlignme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78" fontId="15" fillId="0" borderId="1" xfId="0" applyNumberFormat="1" applyFont="1" applyBorder="1">
      <alignment vertical="center"/>
    </xf>
    <xf numFmtId="178" fontId="16" fillId="0" borderId="1" xfId="0" applyNumberFormat="1" applyFont="1" applyBorder="1">
      <alignment vertical="center"/>
    </xf>
    <xf numFmtId="0" fontId="0" fillId="2" borderId="3" xfId="0" applyFill="1" applyBorder="1" applyAlignment="1">
      <alignment vertical="center" wrapText="1"/>
    </xf>
    <xf numFmtId="0" fontId="0" fillId="0" borderId="1" xfId="0" applyBorder="1">
      <alignment vertical="center"/>
    </xf>
    <xf numFmtId="178" fontId="8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8" fontId="18" fillId="0" borderId="1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vertical="center" wrapText="1"/>
    </xf>
    <xf numFmtId="0" fontId="4" fillId="0" borderId="0" xfId="0" applyFont="1" applyAlignment="1"/>
    <xf numFmtId="177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D11" sqref="D11"/>
    </sheetView>
  </sheetViews>
  <sheetFormatPr defaultRowHeight="14.4" x14ac:dyDescent="0.25"/>
  <cols>
    <col min="1" max="1" width="5.33203125" style="2" customWidth="1"/>
    <col min="2" max="2" width="10.6640625" style="3" customWidth="1"/>
    <col min="3" max="3" width="22.21875" style="3" customWidth="1"/>
    <col min="4" max="4" width="30.6640625" customWidth="1"/>
    <col min="5" max="5" width="12.33203125" style="29" customWidth="1"/>
    <col min="6" max="6" width="16.6640625" customWidth="1"/>
  </cols>
  <sheetData>
    <row r="1" spans="1:6" x14ac:dyDescent="0.25">
      <c r="A1" s="57" t="s">
        <v>6</v>
      </c>
      <c r="B1" s="57"/>
    </row>
    <row r="2" spans="1:6" ht="19.5" customHeight="1" x14ac:dyDescent="0.25">
      <c r="A2" s="56" t="s">
        <v>127</v>
      </c>
      <c r="B2" s="56"/>
      <c r="C2" s="56"/>
      <c r="D2" s="56"/>
      <c r="E2" s="56"/>
      <c r="F2" s="56"/>
    </row>
    <row r="3" spans="1:6" ht="13.5" customHeight="1" x14ac:dyDescent="0.25">
      <c r="A3" s="37" t="s">
        <v>0</v>
      </c>
      <c r="B3" s="44" t="s">
        <v>84</v>
      </c>
      <c r="C3" s="45"/>
      <c r="D3" s="37" t="s">
        <v>85</v>
      </c>
      <c r="E3" s="52" t="s">
        <v>125</v>
      </c>
      <c r="F3" s="54" t="s">
        <v>3</v>
      </c>
    </row>
    <row r="4" spans="1:6" ht="11.25" customHeight="1" x14ac:dyDescent="0.25">
      <c r="A4" s="37"/>
      <c r="B4" s="46"/>
      <c r="C4" s="47"/>
      <c r="D4" s="37"/>
      <c r="E4" s="53"/>
      <c r="F4" s="55"/>
    </row>
    <row r="5" spans="1:6" ht="18" customHeight="1" x14ac:dyDescent="0.25">
      <c r="A5" s="4" t="s">
        <v>86</v>
      </c>
      <c r="B5" s="42" t="s">
        <v>87</v>
      </c>
      <c r="C5" s="43"/>
      <c r="D5" s="5"/>
      <c r="E5" s="28">
        <f>SUM(E6:E12)</f>
        <v>2204.2200000000003</v>
      </c>
      <c r="F5" s="4"/>
    </row>
    <row r="6" spans="1:6" ht="18" customHeight="1" x14ac:dyDescent="0.25">
      <c r="A6" s="5">
        <v>1</v>
      </c>
      <c r="B6" s="38" t="s">
        <v>88</v>
      </c>
      <c r="C6" s="39"/>
      <c r="D6" s="6" t="s">
        <v>129</v>
      </c>
      <c r="E6" s="30">
        <v>1169.79</v>
      </c>
      <c r="F6" s="4"/>
    </row>
    <row r="7" spans="1:6" ht="18" customHeight="1" x14ac:dyDescent="0.25">
      <c r="A7" s="5">
        <v>2</v>
      </c>
      <c r="B7" s="40" t="s">
        <v>91</v>
      </c>
      <c r="C7" s="41"/>
      <c r="D7" s="1" t="s">
        <v>92</v>
      </c>
      <c r="E7" s="30">
        <v>105.42</v>
      </c>
      <c r="F7" s="24" t="s">
        <v>126</v>
      </c>
    </row>
    <row r="8" spans="1:6" ht="18" customHeight="1" x14ac:dyDescent="0.25">
      <c r="A8" s="5">
        <v>3</v>
      </c>
      <c r="B8" s="38" t="s">
        <v>89</v>
      </c>
      <c r="C8" s="39"/>
      <c r="D8" s="6" t="s">
        <v>90</v>
      </c>
      <c r="E8" s="31">
        <v>43.13</v>
      </c>
      <c r="F8" s="24"/>
    </row>
    <row r="9" spans="1:6" ht="28.5" customHeight="1" x14ac:dyDescent="0.25">
      <c r="A9" s="5">
        <v>4</v>
      </c>
      <c r="B9" s="38" t="s">
        <v>5</v>
      </c>
      <c r="C9" s="39"/>
      <c r="D9" s="6" t="s">
        <v>93</v>
      </c>
      <c r="E9" s="30">
        <v>188.2</v>
      </c>
      <c r="F9" s="24"/>
    </row>
    <row r="10" spans="1:6" ht="18" customHeight="1" x14ac:dyDescent="0.25">
      <c r="A10" s="5">
        <v>5</v>
      </c>
      <c r="B10" s="40" t="s">
        <v>94</v>
      </c>
      <c r="C10" s="41"/>
      <c r="D10" s="6" t="s">
        <v>95</v>
      </c>
      <c r="E10" s="30">
        <v>94.53</v>
      </c>
      <c r="F10" s="24"/>
    </row>
    <row r="11" spans="1:6" ht="24" customHeight="1" x14ac:dyDescent="0.25">
      <c r="A11" s="5">
        <v>6</v>
      </c>
      <c r="B11" s="40" t="s">
        <v>96</v>
      </c>
      <c r="C11" s="41"/>
      <c r="D11" s="6" t="s">
        <v>97</v>
      </c>
      <c r="E11" s="30">
        <v>559.79</v>
      </c>
      <c r="F11" s="24"/>
    </row>
    <row r="12" spans="1:6" ht="18" customHeight="1" x14ac:dyDescent="0.25">
      <c r="A12" s="5">
        <v>7</v>
      </c>
      <c r="B12" s="40" t="s">
        <v>98</v>
      </c>
      <c r="C12" s="41"/>
      <c r="D12" s="6" t="s">
        <v>99</v>
      </c>
      <c r="E12" s="30">
        <v>43.36</v>
      </c>
      <c r="F12" s="24"/>
    </row>
    <row r="13" spans="1:6" ht="18" customHeight="1" x14ac:dyDescent="0.25">
      <c r="A13" s="4" t="s">
        <v>100</v>
      </c>
      <c r="B13" s="48" t="s">
        <v>101</v>
      </c>
      <c r="C13" s="49"/>
      <c r="D13" s="6"/>
      <c r="E13" s="28">
        <f>SUM(E14:E21)</f>
        <v>361.13000000000005</v>
      </c>
      <c r="F13" s="24"/>
    </row>
    <row r="14" spans="1:6" ht="18" customHeight="1" x14ac:dyDescent="0.25">
      <c r="A14" s="5">
        <v>8</v>
      </c>
      <c r="B14" s="40" t="s">
        <v>102</v>
      </c>
      <c r="C14" s="41"/>
      <c r="D14" s="1" t="s">
        <v>103</v>
      </c>
      <c r="E14" s="30">
        <v>14.56</v>
      </c>
      <c r="F14" s="24"/>
    </row>
    <row r="15" spans="1:6" ht="18" customHeight="1" x14ac:dyDescent="0.25">
      <c r="A15" s="5">
        <v>9</v>
      </c>
      <c r="B15" s="40" t="s">
        <v>104</v>
      </c>
      <c r="C15" s="41"/>
      <c r="D15" s="1" t="s">
        <v>105</v>
      </c>
      <c r="E15" s="30">
        <v>117.18</v>
      </c>
      <c r="F15" s="24"/>
    </row>
    <row r="16" spans="1:6" ht="18" customHeight="1" x14ac:dyDescent="0.25">
      <c r="A16" s="5">
        <v>10</v>
      </c>
      <c r="B16" s="40" t="s">
        <v>104</v>
      </c>
      <c r="C16" s="41"/>
      <c r="D16" s="26" t="s">
        <v>106</v>
      </c>
      <c r="E16" s="30">
        <v>106.4</v>
      </c>
      <c r="F16" s="24"/>
    </row>
    <row r="17" spans="1:6" ht="27.6" customHeight="1" x14ac:dyDescent="0.25">
      <c r="A17" s="5">
        <v>11</v>
      </c>
      <c r="B17" s="38" t="s">
        <v>107</v>
      </c>
      <c r="C17" s="39"/>
      <c r="D17" s="6" t="s">
        <v>108</v>
      </c>
      <c r="E17" s="30">
        <v>11.33</v>
      </c>
      <c r="F17" s="24"/>
    </row>
    <row r="18" spans="1:6" ht="29.25" customHeight="1" x14ac:dyDescent="0.25">
      <c r="A18" s="5">
        <v>12</v>
      </c>
      <c r="B18" s="38" t="s">
        <v>107</v>
      </c>
      <c r="C18" s="39"/>
      <c r="D18" s="6" t="s">
        <v>109</v>
      </c>
      <c r="E18" s="30">
        <v>7.55</v>
      </c>
      <c r="F18" s="24"/>
    </row>
    <row r="19" spans="1:6" ht="18" customHeight="1" x14ac:dyDescent="0.25">
      <c r="A19" s="5">
        <v>13</v>
      </c>
      <c r="B19" s="40" t="s">
        <v>110</v>
      </c>
      <c r="C19" s="39"/>
      <c r="D19" s="1" t="s">
        <v>111</v>
      </c>
      <c r="E19" s="30">
        <v>20.09</v>
      </c>
      <c r="F19" s="24"/>
    </row>
    <row r="20" spans="1:6" ht="18" customHeight="1" x14ac:dyDescent="0.25">
      <c r="A20" s="5">
        <v>14</v>
      </c>
      <c r="B20" s="40" t="s">
        <v>112</v>
      </c>
      <c r="C20" s="39"/>
      <c r="D20" s="1" t="s">
        <v>113</v>
      </c>
      <c r="E20" s="30">
        <v>56.48</v>
      </c>
      <c r="F20" s="24"/>
    </row>
    <row r="21" spans="1:6" ht="18" customHeight="1" x14ac:dyDescent="0.25">
      <c r="A21" s="5">
        <v>15</v>
      </c>
      <c r="B21" s="40" t="s">
        <v>114</v>
      </c>
      <c r="C21" s="39"/>
      <c r="D21" s="1" t="s">
        <v>115</v>
      </c>
      <c r="E21" s="30">
        <v>27.54</v>
      </c>
      <c r="F21" s="24"/>
    </row>
    <row r="22" spans="1:6" ht="18" customHeight="1" x14ac:dyDescent="0.25">
      <c r="A22" s="4" t="s">
        <v>116</v>
      </c>
      <c r="B22" s="48" t="s">
        <v>2</v>
      </c>
      <c r="C22" s="49"/>
      <c r="D22" s="6"/>
      <c r="E22" s="28">
        <f>SUM(E23:E26)</f>
        <v>57.949999999999996</v>
      </c>
      <c r="F22" s="24"/>
    </row>
    <row r="23" spans="1:6" ht="18" customHeight="1" x14ac:dyDescent="0.25">
      <c r="A23" s="5">
        <v>16</v>
      </c>
      <c r="B23" s="38" t="s">
        <v>117</v>
      </c>
      <c r="C23" s="39"/>
      <c r="D23" s="6" t="s">
        <v>118</v>
      </c>
      <c r="E23" s="30">
        <v>4.2300000000000004</v>
      </c>
      <c r="F23" s="24"/>
    </row>
    <row r="24" spans="1:6" ht="18" customHeight="1" x14ac:dyDescent="0.25">
      <c r="A24" s="5">
        <v>17</v>
      </c>
      <c r="B24" s="38" t="s">
        <v>119</v>
      </c>
      <c r="C24" s="39"/>
      <c r="D24" s="6" t="s">
        <v>120</v>
      </c>
      <c r="E24" s="30">
        <v>8.6199999999999992</v>
      </c>
      <c r="F24" s="24"/>
    </row>
    <row r="25" spans="1:6" ht="24" customHeight="1" x14ac:dyDescent="0.25">
      <c r="A25" s="5">
        <v>18</v>
      </c>
      <c r="B25" s="38" t="s">
        <v>1</v>
      </c>
      <c r="C25" s="39"/>
      <c r="D25" s="6" t="s">
        <v>121</v>
      </c>
      <c r="E25" s="30">
        <v>18.7</v>
      </c>
      <c r="F25" s="24"/>
    </row>
    <row r="26" spans="1:6" ht="18" customHeight="1" x14ac:dyDescent="0.25">
      <c r="A26" s="5">
        <v>19</v>
      </c>
      <c r="B26" s="38" t="s">
        <v>122</v>
      </c>
      <c r="C26" s="39"/>
      <c r="D26" s="6" t="s">
        <v>123</v>
      </c>
      <c r="E26" s="30">
        <v>26.4</v>
      </c>
      <c r="F26" s="24"/>
    </row>
    <row r="27" spans="1:6" ht="18" customHeight="1" x14ac:dyDescent="0.25">
      <c r="A27" s="5"/>
      <c r="B27" s="58"/>
      <c r="C27" s="59"/>
      <c r="D27" s="27"/>
      <c r="E27" s="30"/>
      <c r="F27" s="24"/>
    </row>
    <row r="28" spans="1:6" ht="18" customHeight="1" x14ac:dyDescent="0.25">
      <c r="A28" s="5"/>
      <c r="B28" s="50" t="s">
        <v>124</v>
      </c>
      <c r="C28" s="51"/>
      <c r="D28" s="27"/>
      <c r="E28" s="32">
        <f>E22+E13+E5</f>
        <v>2623.3</v>
      </c>
      <c r="F28" s="25" t="s">
        <v>4</v>
      </c>
    </row>
  </sheetData>
  <mergeCells count="31">
    <mergeCell ref="B28:C28"/>
    <mergeCell ref="E3:E4"/>
    <mergeCell ref="F3:F4"/>
    <mergeCell ref="A2:F2"/>
    <mergeCell ref="A1:B1"/>
    <mergeCell ref="B24:C24"/>
    <mergeCell ref="B25:C25"/>
    <mergeCell ref="B26:C26"/>
    <mergeCell ref="B27:C27"/>
    <mergeCell ref="B23:C23"/>
    <mergeCell ref="B20:C20"/>
    <mergeCell ref="B21:C21"/>
    <mergeCell ref="B22:C22"/>
    <mergeCell ref="B19:C19"/>
    <mergeCell ref="B17:C17"/>
    <mergeCell ref="B18:C18"/>
    <mergeCell ref="B15:C15"/>
    <mergeCell ref="B16:C16"/>
    <mergeCell ref="B14:C14"/>
    <mergeCell ref="B13:C13"/>
    <mergeCell ref="B9:C9"/>
    <mergeCell ref="B10:C10"/>
    <mergeCell ref="B11:C11"/>
    <mergeCell ref="B12:C12"/>
    <mergeCell ref="A3:A4"/>
    <mergeCell ref="B3:C4"/>
    <mergeCell ref="B8:C8"/>
    <mergeCell ref="B7:C7"/>
    <mergeCell ref="D3:D4"/>
    <mergeCell ref="B6:C6"/>
    <mergeCell ref="B5:C5"/>
  </mergeCells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tabSelected="1" workbookViewId="0">
      <selection activeCell="E11" sqref="E11"/>
    </sheetView>
  </sheetViews>
  <sheetFormatPr defaultColWidth="9" defaultRowHeight="14.4" x14ac:dyDescent="0.25"/>
  <cols>
    <col min="1" max="1" width="7" style="22" customWidth="1"/>
    <col min="2" max="2" width="20.77734375" style="22" customWidth="1"/>
    <col min="3" max="3" width="26.44140625" style="23" customWidth="1"/>
    <col min="4" max="4" width="11" style="22" customWidth="1"/>
    <col min="5" max="5" width="23" style="22" customWidth="1"/>
    <col min="6" max="6" width="13" style="22" customWidth="1"/>
    <col min="7" max="7" width="20" style="22" customWidth="1"/>
    <col min="8" max="16384" width="9" style="7"/>
  </cols>
  <sheetData>
    <row r="1" spans="1:7" x14ac:dyDescent="0.25">
      <c r="A1" s="22" t="s">
        <v>128</v>
      </c>
    </row>
    <row r="2" spans="1:7" ht="17.399999999999999" x14ac:dyDescent="0.25">
      <c r="A2" s="33" t="s">
        <v>7</v>
      </c>
      <c r="B2" s="33"/>
      <c r="C2" s="33"/>
      <c r="D2" s="33"/>
      <c r="E2" s="33"/>
      <c r="F2" s="33"/>
      <c r="G2" s="33"/>
    </row>
    <row r="3" spans="1:7" ht="30.75" customHeight="1" x14ac:dyDescent="0.25">
      <c r="A3" s="8" t="s">
        <v>8</v>
      </c>
      <c r="B3" s="8" t="s">
        <v>9</v>
      </c>
      <c r="C3" s="9" t="s">
        <v>10</v>
      </c>
      <c r="D3" s="9" t="s">
        <v>11</v>
      </c>
      <c r="E3" s="9" t="s">
        <v>12</v>
      </c>
      <c r="F3" s="9" t="s">
        <v>13</v>
      </c>
      <c r="G3" s="9" t="s">
        <v>14</v>
      </c>
    </row>
    <row r="4" spans="1:7" ht="18" customHeight="1" x14ac:dyDescent="0.25">
      <c r="A4" s="10" t="s">
        <v>15</v>
      </c>
      <c r="B4" s="11" t="s">
        <v>16</v>
      </c>
      <c r="C4" s="11"/>
      <c r="D4" s="11"/>
      <c r="E4" s="11"/>
      <c r="F4" s="11"/>
      <c r="G4" s="11"/>
    </row>
    <row r="5" spans="1:7" ht="28.8" x14ac:dyDescent="0.25">
      <c r="A5" s="8">
        <v>1</v>
      </c>
      <c r="B5" s="8" t="s">
        <v>17</v>
      </c>
      <c r="C5" s="12" t="s">
        <v>18</v>
      </c>
      <c r="D5" s="13">
        <v>203.02</v>
      </c>
      <c r="E5" s="14" t="s">
        <v>19</v>
      </c>
      <c r="F5" s="13">
        <v>140</v>
      </c>
      <c r="G5" s="14" t="s">
        <v>20</v>
      </c>
    </row>
    <row r="6" spans="1:7" ht="18" customHeight="1" x14ac:dyDescent="0.25">
      <c r="A6" s="8">
        <v>2</v>
      </c>
      <c r="B6" s="8" t="s">
        <v>17</v>
      </c>
      <c r="C6" s="12" t="s">
        <v>21</v>
      </c>
      <c r="D6" s="13">
        <v>75.69</v>
      </c>
      <c r="E6" s="14"/>
      <c r="F6" s="13">
        <v>60</v>
      </c>
      <c r="G6" s="14" t="s">
        <v>20</v>
      </c>
    </row>
    <row r="7" spans="1:7" ht="18" customHeight="1" x14ac:dyDescent="0.25">
      <c r="A7" s="8">
        <v>3</v>
      </c>
      <c r="B7" s="8" t="s">
        <v>17</v>
      </c>
      <c r="C7" s="12" t="s">
        <v>22</v>
      </c>
      <c r="D7" s="13"/>
      <c r="E7" s="14"/>
      <c r="F7" s="13">
        <v>150</v>
      </c>
      <c r="G7" s="14" t="s">
        <v>20</v>
      </c>
    </row>
    <row r="8" spans="1:7" ht="36.75" customHeight="1" x14ac:dyDescent="0.25">
      <c r="A8" s="8">
        <v>4</v>
      </c>
      <c r="B8" s="8" t="s">
        <v>23</v>
      </c>
      <c r="C8" s="12" t="s">
        <v>24</v>
      </c>
      <c r="D8" s="13">
        <v>74.760000000000005</v>
      </c>
      <c r="E8" s="14" t="s">
        <v>25</v>
      </c>
      <c r="F8" s="13">
        <v>120</v>
      </c>
      <c r="G8" s="14" t="s">
        <v>26</v>
      </c>
    </row>
    <row r="9" spans="1:7" ht="42.75" customHeight="1" x14ac:dyDescent="0.25">
      <c r="A9" s="8">
        <v>5</v>
      </c>
      <c r="B9" s="8" t="s">
        <v>23</v>
      </c>
      <c r="C9" s="12" t="s">
        <v>27</v>
      </c>
      <c r="D9" s="13">
        <v>163.57</v>
      </c>
      <c r="E9" s="14" t="s">
        <v>28</v>
      </c>
      <c r="F9" s="13">
        <v>200</v>
      </c>
      <c r="G9" s="14" t="s">
        <v>29</v>
      </c>
    </row>
    <row r="10" spans="1:7" ht="40.799999999999997" customHeight="1" x14ac:dyDescent="0.25">
      <c r="A10" s="8">
        <v>6</v>
      </c>
      <c r="B10" s="8" t="s">
        <v>30</v>
      </c>
      <c r="C10" s="12" t="s">
        <v>31</v>
      </c>
      <c r="D10" s="13"/>
      <c r="E10" s="14"/>
      <c r="F10" s="13">
        <v>300</v>
      </c>
      <c r="G10" s="14" t="s">
        <v>131</v>
      </c>
    </row>
    <row r="11" spans="1:7" ht="43.2" x14ac:dyDescent="0.25">
      <c r="A11" s="8">
        <v>7</v>
      </c>
      <c r="B11" s="8" t="s">
        <v>32</v>
      </c>
      <c r="C11" s="12" t="s">
        <v>33</v>
      </c>
      <c r="D11" s="13">
        <v>768.77</v>
      </c>
      <c r="E11" s="14" t="s">
        <v>34</v>
      </c>
      <c r="F11" s="13">
        <v>450</v>
      </c>
      <c r="G11" s="14" t="s">
        <v>35</v>
      </c>
    </row>
    <row r="12" spans="1:7" s="65" customFormat="1" ht="27.75" customHeight="1" x14ac:dyDescent="0.25">
      <c r="A12" s="17">
        <v>8</v>
      </c>
      <c r="B12" s="60" t="s">
        <v>36</v>
      </c>
      <c r="C12" s="61" t="s">
        <v>37</v>
      </c>
      <c r="D12" s="62">
        <v>252.45</v>
      </c>
      <c r="E12" s="63" t="s">
        <v>38</v>
      </c>
      <c r="F12" s="64"/>
      <c r="G12" s="61" t="s">
        <v>39</v>
      </c>
    </row>
    <row r="13" spans="1:7" s="65" customFormat="1" ht="18" customHeight="1" x14ac:dyDescent="0.25">
      <c r="A13" s="17">
        <v>9</v>
      </c>
      <c r="B13" s="60" t="s">
        <v>40</v>
      </c>
      <c r="C13" s="61" t="s">
        <v>41</v>
      </c>
      <c r="D13" s="62">
        <v>131.76</v>
      </c>
      <c r="E13" s="66" t="s">
        <v>42</v>
      </c>
      <c r="F13" s="67">
        <v>150</v>
      </c>
      <c r="G13" s="61" t="s">
        <v>43</v>
      </c>
    </row>
    <row r="14" spans="1:7" ht="18" customHeight="1" x14ac:dyDescent="0.25">
      <c r="A14" s="10" t="s">
        <v>44</v>
      </c>
      <c r="B14" s="11" t="s">
        <v>45</v>
      </c>
      <c r="C14" s="11"/>
      <c r="D14" s="11"/>
      <c r="E14" s="11"/>
      <c r="F14" s="15"/>
      <c r="G14" s="11"/>
    </row>
    <row r="15" spans="1:7" ht="18" customHeight="1" x14ac:dyDescent="0.25">
      <c r="A15" s="8">
        <v>8</v>
      </c>
      <c r="B15" s="8" t="s">
        <v>46</v>
      </c>
      <c r="C15" s="12" t="s">
        <v>47</v>
      </c>
      <c r="D15" s="13">
        <v>9.31</v>
      </c>
      <c r="E15" s="14" t="s">
        <v>48</v>
      </c>
      <c r="F15" s="13"/>
      <c r="G15" s="14"/>
    </row>
    <row r="16" spans="1:7" ht="43.2" x14ac:dyDescent="0.25">
      <c r="A16" s="8">
        <v>9</v>
      </c>
      <c r="B16" s="8" t="s">
        <v>49</v>
      </c>
      <c r="C16" s="14" t="s">
        <v>50</v>
      </c>
      <c r="D16" s="13">
        <v>124.14</v>
      </c>
      <c r="E16" s="14" t="s">
        <v>51</v>
      </c>
      <c r="F16" s="13">
        <v>86.67</v>
      </c>
      <c r="G16" s="14" t="s">
        <v>52</v>
      </c>
    </row>
    <row r="17" spans="1:7" ht="18" customHeight="1" x14ac:dyDescent="0.25">
      <c r="A17" s="8">
        <v>10</v>
      </c>
      <c r="B17" s="8" t="s">
        <v>53</v>
      </c>
      <c r="C17" s="12" t="s">
        <v>54</v>
      </c>
      <c r="D17" s="13">
        <v>46.95</v>
      </c>
      <c r="E17" s="14" t="s">
        <v>55</v>
      </c>
      <c r="F17" s="13"/>
      <c r="G17" s="14"/>
    </row>
    <row r="18" spans="1:7" ht="28.8" x14ac:dyDescent="0.25">
      <c r="A18" s="8">
        <v>11</v>
      </c>
      <c r="B18" s="8" t="s">
        <v>56</v>
      </c>
      <c r="C18" s="14" t="s">
        <v>57</v>
      </c>
      <c r="D18" s="13">
        <v>16.8</v>
      </c>
      <c r="E18" s="14" t="s">
        <v>55</v>
      </c>
      <c r="F18" s="13"/>
      <c r="G18" s="14"/>
    </row>
    <row r="19" spans="1:7" ht="18" customHeight="1" x14ac:dyDescent="0.25">
      <c r="A19" s="8">
        <v>12</v>
      </c>
      <c r="B19" s="8" t="s">
        <v>56</v>
      </c>
      <c r="C19" s="14" t="s">
        <v>58</v>
      </c>
      <c r="D19" s="13">
        <v>4.01</v>
      </c>
      <c r="E19" s="14" t="s">
        <v>59</v>
      </c>
      <c r="F19" s="13"/>
      <c r="G19" s="14"/>
    </row>
    <row r="20" spans="1:7" ht="18" customHeight="1" x14ac:dyDescent="0.25">
      <c r="A20" s="8">
        <v>13</v>
      </c>
      <c r="B20" s="8" t="s">
        <v>60</v>
      </c>
      <c r="C20" s="14" t="s">
        <v>61</v>
      </c>
      <c r="D20" s="13">
        <v>64.52</v>
      </c>
      <c r="E20" s="14" t="s">
        <v>62</v>
      </c>
      <c r="F20" s="13">
        <v>18.440000000000001</v>
      </c>
      <c r="G20" s="14" t="s">
        <v>52</v>
      </c>
    </row>
    <row r="21" spans="1:7" ht="18" customHeight="1" x14ac:dyDescent="0.25">
      <c r="A21" s="8">
        <v>14</v>
      </c>
      <c r="B21" s="8" t="s">
        <v>63</v>
      </c>
      <c r="C21" s="14" t="s">
        <v>64</v>
      </c>
      <c r="D21" s="13">
        <v>8.8000000000000007</v>
      </c>
      <c r="E21" s="14" t="s">
        <v>48</v>
      </c>
      <c r="F21" s="13"/>
      <c r="G21" s="14"/>
    </row>
    <row r="22" spans="1:7" ht="29.25" customHeight="1" x14ac:dyDescent="0.25">
      <c r="A22" s="8">
        <v>15</v>
      </c>
      <c r="B22" s="8" t="s">
        <v>65</v>
      </c>
      <c r="C22" s="12" t="s">
        <v>66</v>
      </c>
      <c r="D22" s="13">
        <v>264.24</v>
      </c>
      <c r="E22" s="14" t="s">
        <v>67</v>
      </c>
      <c r="F22" s="13">
        <f>91.8*(0.3+0.35)</f>
        <v>59.669999999999987</v>
      </c>
      <c r="G22" s="14" t="s">
        <v>68</v>
      </c>
    </row>
    <row r="23" spans="1:7" ht="28.8" x14ac:dyDescent="0.25">
      <c r="A23" s="8">
        <v>16</v>
      </c>
      <c r="B23" s="8" t="s">
        <v>69</v>
      </c>
      <c r="C23" s="14" t="s">
        <v>70</v>
      </c>
      <c r="D23" s="13"/>
      <c r="E23" s="14"/>
      <c r="F23" s="13">
        <f>61.284*(0.7+0.2)</f>
        <v>55.155599999999993</v>
      </c>
      <c r="G23" s="14" t="s">
        <v>71</v>
      </c>
    </row>
    <row r="24" spans="1:7" ht="28.8" x14ac:dyDescent="0.25">
      <c r="A24" s="8">
        <v>17</v>
      </c>
      <c r="B24" s="8" t="s">
        <v>69</v>
      </c>
      <c r="C24" s="14" t="s">
        <v>72</v>
      </c>
      <c r="D24" s="13"/>
      <c r="E24" s="14"/>
      <c r="F24" s="13">
        <f>15.702*(0.7+0.2)</f>
        <v>14.131799999999998</v>
      </c>
      <c r="G24" s="14" t="s">
        <v>71</v>
      </c>
    </row>
    <row r="25" spans="1:7" ht="18" customHeight="1" x14ac:dyDescent="0.25">
      <c r="A25" s="8">
        <v>18</v>
      </c>
      <c r="B25" s="8" t="s">
        <v>46</v>
      </c>
      <c r="C25" s="14" t="s">
        <v>73</v>
      </c>
      <c r="D25" s="16">
        <v>5.2</v>
      </c>
      <c r="E25" s="14" t="s">
        <v>48</v>
      </c>
      <c r="F25" s="13"/>
      <c r="G25" s="14"/>
    </row>
    <row r="26" spans="1:7" ht="18" customHeight="1" x14ac:dyDescent="0.25">
      <c r="A26" s="10" t="s">
        <v>74</v>
      </c>
      <c r="B26" s="11" t="s">
        <v>75</v>
      </c>
      <c r="C26" s="11"/>
      <c r="D26" s="11"/>
      <c r="E26" s="11"/>
      <c r="F26" s="15"/>
      <c r="G26" s="11"/>
    </row>
    <row r="27" spans="1:7" ht="28.8" x14ac:dyDescent="0.25">
      <c r="A27" s="8">
        <v>19</v>
      </c>
      <c r="B27" s="17" t="s">
        <v>76</v>
      </c>
      <c r="C27" s="18" t="s">
        <v>77</v>
      </c>
      <c r="D27" s="16">
        <v>28</v>
      </c>
      <c r="E27" s="18" t="s">
        <v>78</v>
      </c>
      <c r="F27" s="13"/>
      <c r="G27" s="18"/>
    </row>
    <row r="28" spans="1:7" ht="28.8" x14ac:dyDescent="0.25">
      <c r="A28" s="8">
        <v>20</v>
      </c>
      <c r="B28" s="17" t="s">
        <v>79</v>
      </c>
      <c r="C28" s="18" t="s">
        <v>80</v>
      </c>
      <c r="D28" s="16">
        <v>116.24</v>
      </c>
      <c r="E28" s="18" t="s">
        <v>81</v>
      </c>
      <c r="F28" s="13">
        <v>154.97999999999999</v>
      </c>
      <c r="G28" s="18" t="s">
        <v>82</v>
      </c>
    </row>
    <row r="29" spans="1:7" s="21" customFormat="1" ht="21" customHeight="1" x14ac:dyDescent="0.25">
      <c r="A29" s="10"/>
      <c r="B29" s="10" t="s">
        <v>83</v>
      </c>
      <c r="C29" s="19"/>
      <c r="D29" s="20">
        <f>SUM(D5:D28)</f>
        <v>2358.2299999999996</v>
      </c>
      <c r="E29" s="20"/>
      <c r="F29" s="20">
        <f>SUM(F5:F28)</f>
        <v>1959.0474000000004</v>
      </c>
      <c r="G29" s="19"/>
    </row>
    <row r="30" spans="1:7" ht="18.75" customHeight="1" x14ac:dyDescent="0.25">
      <c r="A30" s="36" t="s">
        <v>130</v>
      </c>
      <c r="B30" s="36"/>
      <c r="C30" s="34">
        <f>D29+F29</f>
        <v>4317.2773999999999</v>
      </c>
      <c r="D30" s="35"/>
      <c r="E30" s="35"/>
      <c r="F30" s="35"/>
      <c r="G30" s="35"/>
    </row>
  </sheetData>
  <mergeCells count="3">
    <mergeCell ref="A2:G2"/>
    <mergeCell ref="C30:G30"/>
    <mergeCell ref="A30:B30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2026年已支付的费用明细表</vt:lpstr>
      <vt:lpstr>8月、9月预计支付费用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沈志远</dc:creator>
  <cp:lastModifiedBy>huawei</cp:lastModifiedBy>
  <cp:lastPrinted>2025-12-26T10:06:31Z</cp:lastPrinted>
  <dcterms:created xsi:type="dcterms:W3CDTF">2023-09-12T11:22:11Z</dcterms:created>
  <dcterms:modified xsi:type="dcterms:W3CDTF">2026-08-13T09:08:39Z</dcterms:modified>
</cp:coreProperties>
</file>